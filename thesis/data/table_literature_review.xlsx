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eo\Documents\Universidad\Master\Thesis\BEReBASL\thesis\data\"/>
    </mc:Choice>
  </mc:AlternateContent>
  <xr:revisionPtr revIDLastSave="0" documentId="13_ncr:1_{5B2CA311-2D5D-4CF8-A87F-C14458726491}" xr6:coauthVersionLast="47" xr6:coauthVersionMax="47" xr10:uidLastSave="{00000000-0000-0000-0000-000000000000}"/>
  <bookViews>
    <workbookView xWindow="-108" yWindow="-108" windowWidth="23256" windowHeight="12456" xr2:uid="{D47D74D5-B8DF-4140-AD42-DCD0A14E194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1" l="1"/>
  <c r="I8" i="1"/>
  <c r="C9" i="1"/>
  <c r="C8" i="1"/>
</calcChain>
</file>

<file path=xl/sharedStrings.xml><?xml version="1.0" encoding="utf-8"?>
<sst xmlns="http://schemas.openxmlformats.org/spreadsheetml/2006/main" count="78" uniqueCount="68">
  <si>
    <t>Reference</t>
  </si>
  <si>
    <t>Distributional assumptions, sample of reject region or experts judgement</t>
  </si>
  <si>
    <t>Estimation of $p(x)$ for further usage in EM based methods</t>
  </si>
  <si>
    <t>Main challenge</t>
  </si>
  <si>
    <t>Economic costs of sample</t>
  </si>
  <si>
    <t>HandHanley1993CanRIWork</t>
  </si>
  <si>
    <t>Knowledge and existence of causal non-cyclic relationships between features</t>
  </si>
  <si>
    <t>Moderately</t>
  </si>
  <si>
    <t>Banasik01032010</t>
  </si>
  <si>
    <t>RI Approach</t>
  </si>
  <si>
    <t>Key identifying assumptions</t>
  </si>
  <si>
    <t>Anderson2019BayesianNetForRI</t>
  </si>
  <si>
    <t>LiEtAl2017SemisupervisedSVM</t>
  </si>
  <si>
    <t>BuckerEtAl2013MNARRI</t>
  </si>
  <si>
    <t>Yes</t>
  </si>
  <si>
    <t>No</t>
  </si>
  <si>
    <t>Result type</t>
  </si>
  <si>
    <t>Does RI work?</t>
  </si>
  <si>
    <t>Only with labeled rejects' smaple</t>
  </si>
  <si>
    <t>Augmentation inadequate for RI</t>
  </si>
  <si>
    <t>High dimensional feature space</t>
  </si>
  <si>
    <t>Reliability of causality, dimensionality</t>
  </si>
  <si>
    <t>Dynamic persp.</t>
  </si>
  <si>
    <t>Emp.</t>
  </si>
  <si>
    <t>Theo./ heur. justified?</t>
  </si>
  <si>
    <t>Assump. explicit?</t>
  </si>
  <si>
    <t>Infers Rejects' label for eval?</t>
  </si>
  <si>
    <t>Independence condition\footnote{The condition comes from the cited paper \cite{BuckerKramer2011} in the proof} illogical in dynamic context, numerical problems</t>
  </si>
  <si>
    <t>Theo.</t>
  </si>
  <si>
    <t>Theo., sim.</t>
  </si>
  <si>
    <t>BanasikCrook2003SampleSelBias</t>
  </si>
  <si>
    <t>Emp., sim.</t>
  </si>
  <si>
    <t>Moderately if MNAR and conservative FI</t>
  </si>
  <si>
    <t>Errors in modelled equations are correlated, knowledge of relevant variables</t>
  </si>
  <si>
    <t>Bivariate Probit for PD and AR equations (BVP)</t>
  </si>
  <si>
    <t>BVP, Augmentation and BVP with Augmentation</t>
  </si>
  <si>
    <t>Accept reject model estimable, enough rare accepts to correct</t>
  </si>
  <si>
    <t>Augmentation via reweighting using AR model</t>
  </si>
  <si>
    <t>Identification of AR and PD equations, correlation between their errors being $&gt;0$</t>
  </si>
  <si>
    <t>No, worse than only accepts</t>
  </si>
  <si>
    <t>bansikCrook2007</t>
  </si>
  <si>
    <t>CrookBanasik2004DoesRIimprove</t>
  </si>
  <si>
    <t>Augmentation and Extrapolation</t>
  </si>
  <si>
    <t>Extrapolation to rejects through bayesian network, then build scorecard on extrapolated sample</t>
  </si>
  <si>
    <t>MancisdorEtAl2020DeepGenMForRI</t>
  </si>
  <si>
    <t>Use a generative model with latent features $L$\footnote{They use $z$ as letter in the paper, but here that letter stands for the acceptance status and is thus changed} in form $Y \to L \to X$, where rejects are used to train the encoder of $X$ onto $L$, while being tied by the accepts to be consistent in class conditional prior assumptions $Y \to L$</t>
  </si>
  <si>
    <t>Causal markov chain $Y \to Z \to X$, distributional assumptions on certain marginals of the system. Implicitly MAR\footnote{Effecitvely they model $P(Y | X, Z=a) = P(Y | X, Z = r)$ assumption}</t>
  </si>
  <si>
    <t>Numerical stability, sensitivity to initial weights, explainability for regulatory</t>
  </si>
  <si>
    <t>ShengEtAl2024RICostSenstiveJointDistAdap</t>
  </si>
  <si>
    <t>Semisupervised SVM (S3VM): Rejects guide the decision boundary through low density regions in the features space</t>
  </si>
  <si>
    <t>Estimation of unconditional means of features and probability of reject for generative model</t>
  </si>
  <si>
    <t>For Joint Distribution Adaptation (JDA) to reduce dist. Differences between rejects and accepts, and for cost sensitive S3VM</t>
  </si>
  <si>
    <t>Low density regions of features space aligned with known labels separation, MAR</t>
  </si>
  <si>
    <t>Label missingness be independent across observations, MNAR</t>
  </si>
  <si>
    <t>JDA can turn MNAR into MAR in latent space, low density separability assumption</t>
  </si>
  <si>
    <t>JDA depends on high feature dimensionality, computational costs, explaniability</t>
  </si>
  <si>
    <t>Feelders2000RIMixtureModels</t>
  </si>
  <si>
    <t>MAR</t>
  </si>
  <si>
    <t>EM algorithm, for rejects explicit expectation over the two classes weighted by the posterior</t>
  </si>
  <si>
    <t>Sim.</t>
  </si>
  <si>
    <t>Parameters scale quadratically with features dimensionality, doubtful whether the DGP can be so simple and unrealistic acceptance rule</t>
  </si>
  <si>
    <t>Yes, for small samples and feature space</t>
  </si>
  <si>
    <t>BoyesHoffmann1985HeckmanInCreditScoring</t>
  </si>
  <si>
    <t>MNAR, Bivariate Probit assumptions, FI are rational and may seek to optimize for high balances</t>
  </si>
  <si>
    <t>Emp. and simulation</t>
  </si>
  <si>
    <t>Unclear, only comparision of decision differences presented</t>
  </si>
  <si>
    <t>Data required for proposed ``behavioral" credit scoring model is hard to obtain</t>
  </si>
  <si>
    <t>Heckman type PD/AR estimation with augmentation where weights are proportional to population frequencies for behavioral scoring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</si>
</sst>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FF5C-5175-44DA-A620-18833DBB2C7A}">
  <dimension ref="A1:J15"/>
  <sheetViews>
    <sheetView tabSelected="1" topLeftCell="D1" workbookViewId="0">
      <pane ySplit="1" topLeftCell="A9" activePane="bottomLeft" state="frozen"/>
      <selection pane="bottomLeft" activeCell="J14" sqref="J14"/>
    </sheetView>
  </sheetViews>
  <sheetFormatPr baseColWidth="10" defaultRowHeight="14.4" x14ac:dyDescent="0.3"/>
  <cols>
    <col min="1" max="1" width="38.33203125" customWidth="1"/>
    <col min="2" max="3" width="28.21875" customWidth="1"/>
    <col min="4" max="4" width="21.88671875" bestFit="1" customWidth="1"/>
    <col min="5" max="5" width="21.6640625" customWidth="1"/>
    <col min="6" max="6" width="28.6640625" customWidth="1"/>
    <col min="7" max="7" width="24.88671875" customWidth="1"/>
    <col min="8" max="8" width="27.44140625" bestFit="1" customWidth="1"/>
    <col min="9" max="9" width="27.44140625" customWidth="1"/>
    <col min="10" max="10" width="27.88671875" bestFit="1" customWidth="1"/>
  </cols>
  <sheetData>
    <row r="1" spans="1:10" x14ac:dyDescent="0.3">
      <c r="A1" t="s">
        <v>0</v>
      </c>
      <c r="B1" t="s">
        <v>9</v>
      </c>
      <c r="C1" t="s">
        <v>10</v>
      </c>
      <c r="D1" t="s">
        <v>25</v>
      </c>
      <c r="E1" t="s">
        <v>24</v>
      </c>
      <c r="F1" t="s">
        <v>26</v>
      </c>
      <c r="G1" t="s">
        <v>16</v>
      </c>
      <c r="H1" t="s">
        <v>17</v>
      </c>
      <c r="I1" t="s">
        <v>3</v>
      </c>
      <c r="J1" t="s">
        <v>22</v>
      </c>
    </row>
    <row r="2" spans="1:10" ht="43.2" x14ac:dyDescent="0.3">
      <c r="A2" t="s">
        <v>5</v>
      </c>
      <c r="B2" s="2" t="s">
        <v>2</v>
      </c>
      <c r="C2" s="2" t="s">
        <v>1</v>
      </c>
      <c r="D2" t="b">
        <v>1</v>
      </c>
      <c r="E2" s="1" t="b">
        <v>1</v>
      </c>
      <c r="F2" t="b">
        <v>0</v>
      </c>
      <c r="G2" t="s">
        <v>28</v>
      </c>
      <c r="H2" s="2" t="s">
        <v>18</v>
      </c>
      <c r="I2" s="2" t="s">
        <v>4</v>
      </c>
      <c r="J2" s="1" t="b">
        <v>0</v>
      </c>
    </row>
    <row r="3" spans="1:10" ht="57.6" x14ac:dyDescent="0.3">
      <c r="A3" t="s">
        <v>11</v>
      </c>
      <c r="B3" s="2" t="s">
        <v>43</v>
      </c>
      <c r="C3" s="2" t="s">
        <v>6</v>
      </c>
      <c r="D3" t="b">
        <v>1</v>
      </c>
      <c r="E3" t="b">
        <v>0</v>
      </c>
      <c r="F3" s="1" t="b">
        <v>0</v>
      </c>
      <c r="G3" t="s">
        <v>23</v>
      </c>
      <c r="H3" s="1" t="s">
        <v>7</v>
      </c>
      <c r="I3" s="2" t="s">
        <v>21</v>
      </c>
      <c r="J3" s="1" t="b">
        <v>0</v>
      </c>
    </row>
    <row r="4" spans="1:10" ht="57.6" x14ac:dyDescent="0.3">
      <c r="A4" t="s">
        <v>12</v>
      </c>
      <c r="B4" s="2" t="s">
        <v>49</v>
      </c>
      <c r="C4" s="2" t="s">
        <v>52</v>
      </c>
      <c r="D4" t="b">
        <v>0</v>
      </c>
      <c r="E4" t="b">
        <v>0</v>
      </c>
      <c r="F4" t="b">
        <v>1</v>
      </c>
      <c r="G4" t="s">
        <v>23</v>
      </c>
      <c r="H4" s="2" t="s">
        <v>14</v>
      </c>
      <c r="I4" s="3" t="s">
        <v>20</v>
      </c>
      <c r="J4" t="b">
        <v>0</v>
      </c>
    </row>
    <row r="5" spans="1:10" ht="86.4" x14ac:dyDescent="0.3">
      <c r="A5" t="s">
        <v>13</v>
      </c>
      <c r="B5" s="2" t="s">
        <v>50</v>
      </c>
      <c r="C5" s="2" t="s">
        <v>53</v>
      </c>
      <c r="D5" t="b">
        <v>1</v>
      </c>
      <c r="E5" t="b">
        <v>1</v>
      </c>
      <c r="F5" t="b">
        <v>0</v>
      </c>
      <c r="G5" t="s">
        <v>29</v>
      </c>
      <c r="H5" t="s">
        <v>14</v>
      </c>
      <c r="I5" s="2" t="s">
        <v>27</v>
      </c>
      <c r="J5" t="b">
        <v>0</v>
      </c>
    </row>
    <row r="6" spans="1:10" ht="28.8" x14ac:dyDescent="0.3">
      <c r="A6" s="1" t="s">
        <v>8</v>
      </c>
      <c r="B6" s="2" t="s">
        <v>37</v>
      </c>
      <c r="C6" s="2" t="s">
        <v>36</v>
      </c>
      <c r="D6" t="b">
        <v>1</v>
      </c>
      <c r="E6" t="b">
        <v>1</v>
      </c>
      <c r="F6" t="b">
        <v>0</v>
      </c>
      <c r="G6" t="s">
        <v>23</v>
      </c>
      <c r="H6" s="2" t="s">
        <v>39</v>
      </c>
      <c r="I6" s="2" t="s">
        <v>19</v>
      </c>
      <c r="J6" t="b">
        <v>0</v>
      </c>
    </row>
    <row r="7" spans="1:10" ht="43.2" x14ac:dyDescent="0.3">
      <c r="A7" t="s">
        <v>30</v>
      </c>
      <c r="B7" s="2" t="s">
        <v>34</v>
      </c>
      <c r="C7" s="2" t="s">
        <v>33</v>
      </c>
      <c r="D7" t="b">
        <v>1</v>
      </c>
      <c r="E7" t="b">
        <v>1</v>
      </c>
      <c r="F7" s="1" t="b">
        <v>0</v>
      </c>
      <c r="G7" t="s">
        <v>31</v>
      </c>
      <c r="H7" s="2" t="s">
        <v>32</v>
      </c>
      <c r="I7" s="2" t="s">
        <v>38</v>
      </c>
      <c r="J7" t="b">
        <v>0</v>
      </c>
    </row>
    <row r="8" spans="1:10" ht="57.6" x14ac:dyDescent="0.3">
      <c r="A8" s="1" t="s">
        <v>40</v>
      </c>
      <c r="B8" s="2" t="s">
        <v>35</v>
      </c>
      <c r="C8" s="2" t="str">
        <f>"For BVP like in \textcite{"&amp;A7&amp;"}. For Augmentation like \textcite{"&amp;A6&amp;"}"</f>
        <v>For BVP like in \textcite{BanasikCrook2003SampleSelBias}. For Augmentation like \textcite{Banasik01032010}</v>
      </c>
      <c r="D8" s="1" t="b">
        <v>1</v>
      </c>
      <c r="E8" t="b">
        <v>1</v>
      </c>
      <c r="F8" t="b">
        <v>0</v>
      </c>
      <c r="G8" t="s">
        <v>23</v>
      </c>
      <c r="H8" s="2" t="s">
        <v>15</v>
      </c>
      <c r="I8" s="2" t="str">
        <f>"Also alike to \textcite{"&amp;A7&amp;"} and \textcite{"&amp;A6&amp;"}"</f>
        <v>Also alike to \textcite{BanasikCrook2003SampleSelBias} and \textcite{Banasik01032010}</v>
      </c>
      <c r="J8" t="b">
        <v>0</v>
      </c>
    </row>
    <row r="9" spans="1:10" ht="57.6" x14ac:dyDescent="0.3">
      <c r="A9" t="s">
        <v>41</v>
      </c>
      <c r="B9" s="2" t="s">
        <v>42</v>
      </c>
      <c r="C9" s="2" t="str">
        <f>"For Augmentation like \textcite{"&amp;A6&amp;"}, for extrapolation $\mathbb{P}(Y=g | X)$ similar in accepts and rejects"</f>
        <v>For Augmentation like \textcite{Banasik01032010}, for extrapolation $\mathbb{P}(Y=g | X)$ similar in accepts and rejects</v>
      </c>
      <c r="D9" t="b">
        <v>1</v>
      </c>
      <c r="E9" t="b">
        <v>1</v>
      </c>
      <c r="F9" t="b">
        <v>0</v>
      </c>
      <c r="G9" t="s">
        <v>23</v>
      </c>
      <c r="H9" s="2" t="s">
        <v>15</v>
      </c>
      <c r="I9" s="1" t="str">
        <f>"Like \textcite{"&amp;A7&amp;"} and \textcite{"&amp;A6&amp;"}"</f>
        <v>Like \textcite{BanasikCrook2003SampleSelBias} and \textcite{Banasik01032010}</v>
      </c>
      <c r="J9" t="b">
        <v>0</v>
      </c>
    </row>
    <row r="10" spans="1:10" ht="43.2" x14ac:dyDescent="0.3">
      <c r="A10" t="s">
        <v>44</v>
      </c>
      <c r="B10" t="s">
        <v>45</v>
      </c>
      <c r="C10" s="1" t="s">
        <v>46</v>
      </c>
      <c r="D10" s="1" t="b">
        <v>1</v>
      </c>
      <c r="E10" t="b">
        <v>0</v>
      </c>
      <c r="F10" t="b">
        <v>0</v>
      </c>
      <c r="G10" t="s">
        <v>23</v>
      </c>
      <c r="H10" t="s">
        <v>14</v>
      </c>
      <c r="I10" s="2" t="s">
        <v>47</v>
      </c>
      <c r="J10" t="b">
        <v>0</v>
      </c>
    </row>
    <row r="11" spans="1:10" ht="57.6" x14ac:dyDescent="0.3">
      <c r="A11" t="s">
        <v>48</v>
      </c>
      <c r="B11" s="2" t="s">
        <v>51</v>
      </c>
      <c r="C11" s="3" t="s">
        <v>54</v>
      </c>
      <c r="D11" t="b">
        <v>1</v>
      </c>
      <c r="E11" s="1" t="b">
        <v>1</v>
      </c>
      <c r="F11" t="b">
        <v>0</v>
      </c>
      <c r="G11" t="s">
        <v>23</v>
      </c>
      <c r="H11" s="2" t="s">
        <v>14</v>
      </c>
      <c r="I11" s="2" t="s">
        <v>55</v>
      </c>
      <c r="J11" t="b">
        <v>0</v>
      </c>
    </row>
    <row r="12" spans="1:10" ht="72" x14ac:dyDescent="0.3">
      <c r="A12" s="1" t="s">
        <v>56</v>
      </c>
      <c r="B12" s="2" t="s">
        <v>58</v>
      </c>
      <c r="C12" s="3" t="s">
        <v>57</v>
      </c>
      <c r="D12" s="1" t="b">
        <v>1</v>
      </c>
      <c r="E12" t="b">
        <v>1</v>
      </c>
      <c r="F12" t="b">
        <v>0</v>
      </c>
      <c r="G12" t="s">
        <v>59</v>
      </c>
      <c r="H12" s="2" t="s">
        <v>61</v>
      </c>
      <c r="I12" s="2" t="s">
        <v>60</v>
      </c>
      <c r="J12" t="b">
        <v>0</v>
      </c>
    </row>
    <row r="13" spans="1:10" ht="72" x14ac:dyDescent="0.3">
      <c r="A13" t="s">
        <v>62</v>
      </c>
      <c r="B13" s="2" t="s">
        <v>67</v>
      </c>
      <c r="C13" t="s">
        <v>63</v>
      </c>
      <c r="D13" t="b">
        <v>1</v>
      </c>
      <c r="E13" t="b">
        <v>1</v>
      </c>
      <c r="F13" t="b">
        <v>0</v>
      </c>
      <c r="G13" t="s">
        <v>64</v>
      </c>
      <c r="H13" s="2" t="s">
        <v>65</v>
      </c>
      <c r="I13" s="2" t="s">
        <v>66</v>
      </c>
      <c r="J13" t="b">
        <v>0</v>
      </c>
    </row>
    <row r="14" spans="1:10" x14ac:dyDescent="0.3">
      <c r="J14" s="1"/>
    </row>
    <row r="15" spans="1:10" x14ac:dyDescent="0.3">
      <c r="C15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Ordonez-Serna</dc:creator>
  <cp:lastModifiedBy>Mateo Ordonez-Serna</cp:lastModifiedBy>
  <dcterms:created xsi:type="dcterms:W3CDTF">2026-08-13T09:15:27Z</dcterms:created>
  <dcterms:modified xsi:type="dcterms:W3CDTF">2026-08-31T12:21:40Z</dcterms:modified>
</cp:coreProperties>
</file>