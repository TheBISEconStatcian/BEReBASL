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teo\Documents\Universidad\Master\Thesis\BEReBASL\thesis\data\"/>
    </mc:Choice>
  </mc:AlternateContent>
  <xr:revisionPtr revIDLastSave="0" documentId="13_ncr:1_{BDF357FC-D624-43DA-94D6-CE7D1BE8D831}" xr6:coauthVersionLast="47" xr6:coauthVersionMax="47" xr10:uidLastSave="{00000000-0000-0000-0000-000000000000}"/>
  <bookViews>
    <workbookView xWindow="-108" yWindow="-108" windowWidth="23256" windowHeight="12456" xr2:uid="{D47D74D5-B8DF-4140-AD42-DCD0A14E194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9" i="1" l="1"/>
  <c r="I8" i="1"/>
  <c r="C9" i="1"/>
  <c r="C8" i="1"/>
</calcChain>
</file>

<file path=xl/sharedStrings.xml><?xml version="1.0" encoding="utf-8"?>
<sst xmlns="http://schemas.openxmlformats.org/spreadsheetml/2006/main" count="126" uniqueCount="111">
  <si>
    <t>Reference</t>
  </si>
  <si>
    <t>Distributional assumptions, sample of reject region or experts judgement</t>
  </si>
  <si>
    <t>Estimation of $p(x)$ for further usage in EM based methods</t>
  </si>
  <si>
    <t>Main challenge</t>
  </si>
  <si>
    <t>Economic costs of sample</t>
  </si>
  <si>
    <t>HandHanley1993CanRIWork</t>
  </si>
  <si>
    <t>Knowledge and existence of causal non-cyclic relationships between features</t>
  </si>
  <si>
    <t>Moderately</t>
  </si>
  <si>
    <t>Banasik01032010</t>
  </si>
  <si>
    <t>RI Approach</t>
  </si>
  <si>
    <t>Key identifying assumptions</t>
  </si>
  <si>
    <t>Anderson2019BayesianNetForRI</t>
  </si>
  <si>
    <t>LiEtAl2017SemisupervisedSVM</t>
  </si>
  <si>
    <t>BuckerEtAl2013MNARRI</t>
  </si>
  <si>
    <t>Yes</t>
  </si>
  <si>
    <t>No</t>
  </si>
  <si>
    <t>Result type</t>
  </si>
  <si>
    <t>Does RI work?</t>
  </si>
  <si>
    <t>Only with labeled rejects' smaple</t>
  </si>
  <si>
    <t>Augmentation inadequate for RI</t>
  </si>
  <si>
    <t>Reliability of causality, dimensionality</t>
  </si>
  <si>
    <t>Dynamic persp.</t>
  </si>
  <si>
    <t>Emp.</t>
  </si>
  <si>
    <t>Theo./ heur. justified?</t>
  </si>
  <si>
    <t>Assump. explicit?</t>
  </si>
  <si>
    <t>Infers Rejects' label for eval?</t>
  </si>
  <si>
    <t>Independence condition\footnote{The condition comes from the cited paper \cite{BuckerKramer2011} in the proof} illogical in dynamic context, numerical problems</t>
  </si>
  <si>
    <t>Theo.</t>
  </si>
  <si>
    <t>Theo., sim.</t>
  </si>
  <si>
    <t>BanasikCrook2003SampleSelBias</t>
  </si>
  <si>
    <t>Emp., sim.</t>
  </si>
  <si>
    <t>Moderately if MNAR and conservative FI</t>
  </si>
  <si>
    <t>Errors in modelled equations are correlated, knowledge of relevant variables</t>
  </si>
  <si>
    <t>Bivariate Probit for PD and AR equations (BVP)</t>
  </si>
  <si>
    <t>BVP, Augmentation and BVP with Augmentation</t>
  </si>
  <si>
    <t>Accept reject model estimable, enough rare accepts to correct</t>
  </si>
  <si>
    <t>Augmentation via reweighting using AR model</t>
  </si>
  <si>
    <t>Identification of AR and PD equations, correlation between their errors being $&gt;0$</t>
  </si>
  <si>
    <t>No, worse than only accepts</t>
  </si>
  <si>
    <t>bansikCrook2007</t>
  </si>
  <si>
    <t>CrookBanasik2004DoesRIimprove</t>
  </si>
  <si>
    <t>Augmentation and Extrapolation</t>
  </si>
  <si>
    <t>Extrapolation to rejects through bayesian network, then build scorecard on extrapolated sample</t>
  </si>
  <si>
    <t>MancisdorEtAl2020DeepGenMForRI</t>
  </si>
  <si>
    <t>Use a generative model with latent features $L$\footnote{They use $z$ as letter in the paper, but here that letter stands for the acceptance status and is thus changed} in form $Y \to L \to X$, where rejects are used to train the encoder of $X$ onto $L$, while being tied by the accepts to be consistent in class conditional prior assumptions $Y \to L$</t>
  </si>
  <si>
    <t>Causal markov chain $Y \to Z \to X$, distributional assumptions on certain marginals of the system. Implicitly MAR\footnote{Effecitvely they model $P(Y | X, Z=a) = P(Y | X, Z = r)$ assumption}</t>
  </si>
  <si>
    <t>Numerical stability, sensitivity to initial weights, explainability for regulatory</t>
  </si>
  <si>
    <t>ShengEtAl2024RICostSenstiveJointDistAdap</t>
  </si>
  <si>
    <t>Semisupervised SVM (S3VM): Rejects guide the decision boundary through low density regions in the features space</t>
  </si>
  <si>
    <t>Estimation of unconditional means of features and probability of reject for generative model</t>
  </si>
  <si>
    <t>For Joint Distribution Adaptation (JDA) to reduce dist. Differences between rejects and accepts, and for cost sensitive S3VM</t>
  </si>
  <si>
    <t>Low density regions of features space aligned with known labels separation, MAR</t>
  </si>
  <si>
    <t>Label missingness be independent across observations, MNAR</t>
  </si>
  <si>
    <t>JDA can turn MNAR into MAR in latent space, low density separability assumption</t>
  </si>
  <si>
    <t>JDA depends on high feature dimensionality, computational costs, explaniability</t>
  </si>
  <si>
    <t>Feelders2000RIMixtureModels</t>
  </si>
  <si>
    <t>MAR</t>
  </si>
  <si>
    <t>EM algorithm, for rejects explicit expectation over the two classes weighted by the posterior</t>
  </si>
  <si>
    <t>Sim.</t>
  </si>
  <si>
    <t>Parameters scale quadratically with features dimensionality, doubtful whether the DGP can be so simple and unrealistic acceptance rule</t>
  </si>
  <si>
    <t>Yes, for small samples and feature space</t>
  </si>
  <si>
    <t>MNAR, Bivariate Probit assumptions, FI are rational and may seek to optimize for high balances</t>
  </si>
  <si>
    <t>Emp. and simulation</t>
  </si>
  <si>
    <t>Unclear, only comparision of decision differences presented</t>
  </si>
  <si>
    <t>Data required for proposed ``behavioral" credit scoring model is hard to obtain</t>
  </si>
  <si>
    <t>Heckman type PD/AR estimation with augmentation where weights are proportional to population frequencies for behavioral scoring model</t>
  </si>
  <si>
    <t>ChenAstebro2010RIBoundCollapseBayesian</t>
  </si>
  <si>
    <t>Bayesian Bound and Collapse method on multinomial over combinations of scoring, repayment and missingness indicator, to then extrapolate to obtain complete sample</t>
  </si>
  <si>
    <t>MNAR, single cut-off point for whole sample, probability of reject estimable</t>
  </si>
  <si>
    <t>Emp. with simulated cutoff</t>
  </si>
  <si>
    <t>Yes, measured on artificial reject/accept region of past credits</t>
  </si>
  <si>
    <t>Data needed scales strongly with range of scores, unclear how the data is MNAR</t>
  </si>
  <si>
    <t>ElAnnas2022SemisupervisedAH</t>
  </si>
  <si>
    <t>High dimensional feature space, handling large amounts of data</t>
  </si>
  <si>
    <t>Semisupervised hidden markov model, where a sequential model along the (binned) features is modeled with two hidden states representing bad and good outcomes. The hidden states are semantically anchored at the beginning with a maximum likelihood estimation of transition parameters in the markov chain. The Rejects are used to finetune the transition probabilities in an unsupervised manner</t>
  </si>
  <si>
    <t>A Markov Chain along the features in a specific order is sensible and can be meaningfully tied to hidden states, the rejects further do not break up the semantics of the hidden states.</t>
  </si>
  <si>
    <t>Rejects and Accepts must have the same available features, unclear how to define the order of features in chain</t>
  </si>
  <si>
    <t>KangEtAl2021GraphBasedSemiRI</t>
  </si>
  <si>
    <t>Emp. Including A/B testing</t>
  </si>
  <si>
    <t>Computational costs, Borderline SMOTE scales bad with features dimension, explainability for distance metric with discrete features</t>
  </si>
  <si>
    <t>Semisupervised label propagation: use fully connected graph over all observations, where observations alike form clusters that are assigned a label according to known labels in the cluster, regularized to avoid overfitting through penalization of deviation of initial supervised only label setting and controling for accepts class imbalance through Borderline-SMOTE. Clusters are calculated through mahalanobis distance</t>
  </si>
  <si>
    <t>kozdoi_et_al_BE_BASL</t>
  </si>
  <si>
    <t>Rejects closest to accepts share labels, larger manifolds with common labels concentrations also share labels. Upsampled points on the borderline between minority and majority contain more valuable information</t>
  </si>
  <si>
    <t>Bayesian Evaluation: Use random conditional bernoulli based extrapolation on evaluation set iteratively to get bayesian metric. For inference: iteratively partially extrapolate to generate high confidence rejects' labels to generate larger complete data for training scorecard</t>
  </si>
  <si>
    <t>MAR or MNAR data, partial debiasing is more useful than extrapolating all rejects, rejects contain higher bad rates, posterior estimate can be calibrated</t>
  </si>
  <si>
    <t>Sim. and Emp.</t>
  </si>
  <si>
    <t>Yes for evaluation, estimation also under specific conditions</t>
  </si>
  <si>
    <t>BASL: sensitivity to class imbalance, understanding when it is worthwhile using it</t>
  </si>
  <si>
    <t>MaldonadoParedes2010SemiSupSVM</t>
  </si>
  <si>
    <t>SVM with penalization term for low confident predictions (low density region) on unlabeld data as learner for self-training</t>
  </si>
  <si>
    <t>Linear classification boundaries, low density assumption in unlabeled data, accurate classifier per iteration in self-training</t>
  </si>
  <si>
    <t>Sim. And Emp.</t>
  </si>
  <si>
    <t>Yes in sim., in emp. also with artificial rejects\footnote{meaning: rejects among the accepted clients in the samples}</t>
  </si>
  <si>
    <t>Linearity constraint, high dimensional feature space, handling large amounts of data</t>
  </si>
  <si>
    <t>XiaEtAl2018RIPesimisticLikelihood</t>
  </si>
  <si>
    <t>Contrastive Pessimistic Likelihood (CPLE) with LigthGBM, where the CPLE objective is optimized with fully extrapolated rejects, which are weighted by their PD</t>
  </si>
  <si>
    <t>From CPLE framework: well-defined likelihood, calibrated PD-estimator over reject region, same features available for rejects and accepts, MNAR
From LightGBM usage: pruning breaks self-reinforcing error loop and PD estimation is almost continuous</t>
  </si>
  <si>
    <t>Computational costs scale with reject rate, ensuring non-overfitted well calibrated classifier</t>
  </si>
  <si>
    <t>Yes, on holdout accepts</t>
  </si>
  <si>
    <t>Moderately based on accepts only eval.</t>
  </si>
  <si>
    <t>ShenEtAl2020ThreeStageRI</t>
  </si>
  <si>
    <t>Most similar Rejects selected through 3-way-decision (3WD) theory based on Mahalanobis distance (MD) to accepts are used jointly with accepts to learn higher level features representations of through Self-Thought-Learning (STL). This representation is used for further supervised learning on accepts</t>
  </si>
  <si>
    <t>STL will produce features better aligned for credit scoring using \textit{any downstream algorithm} as it does not assume equal distributions of accepts and rejects. MD serves as proxy to prevent negative transferin STL by including only rejects features alike to the accepts, which allows to induce they assume the data is not MNAR. MD is suitable for a mix of contiguous, binary and categorical data</t>
  </si>
  <si>
    <t>Yes, on holdout accepts\footnote{They did however not check if the improvement comes from higher feature representation learning or from RI}</t>
  </si>
  <si>
    <t>Extremeley High computational costs due to 3WD, explainability and credibility</t>
  </si>
  <si>
    <t>A Kernel-free Fuzzy Quadratic Surface SVM (FQSSVM) approach consisting of: (1) initial separation to compute distance metrics; (2) outlier detection using local neighborhood affinity to eliminate default outliers; (3) a fuzzy weighting scheme based on class centers, local hesitation, and proximity to the boundary; and (4) convex FQSSVM optimization on both accepted and weighted, temporarily labeled rejected samples</t>
  </si>
  <si>
    <t>BoyesEtAl1989EconxAnalysis</t>
  </si>
  <si>
    <t>MAR DGP, all rejects as bad appropiate for initial separation. Accepted default borrowers with excellent attributes are ``outliers" (accidental defaults) whose elimination improves classification accuracy. Rejects positioned near the initial separating boundary represent potential good borrowers</t>
  </si>
  <si>
    <t>Yes, on evaluated sets</t>
  </si>
  <si>
    <t>High dependency on heuristic parameter selection</t>
  </si>
  <si>
    <t>TianEtAl2018RIKernelFreeFuzzySVM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</si>
</sst>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2FF5C-5175-44DA-A620-18833DBB2C7A}">
  <dimension ref="A1:J21"/>
  <sheetViews>
    <sheetView tabSelected="1" workbookViewId="0">
      <pane ySplit="1" topLeftCell="A20" activePane="bottomLeft" state="frozen"/>
      <selection pane="bottomLeft" activeCell="C21" sqref="C21"/>
    </sheetView>
  </sheetViews>
  <sheetFormatPr baseColWidth="10" defaultRowHeight="14.4" x14ac:dyDescent="0.3"/>
  <cols>
    <col min="1" max="1" width="38.33203125" customWidth="1"/>
    <col min="2" max="3" width="28.21875" customWidth="1"/>
    <col min="4" max="4" width="21.88671875" bestFit="1" customWidth="1"/>
    <col min="5" max="5" width="21.6640625" customWidth="1"/>
    <col min="6" max="6" width="28.6640625" customWidth="1"/>
    <col min="7" max="7" width="24.88671875" customWidth="1"/>
    <col min="8" max="8" width="27.44140625" bestFit="1" customWidth="1"/>
    <col min="9" max="9" width="27.44140625" customWidth="1"/>
    <col min="10" max="10" width="27.88671875" bestFit="1" customWidth="1"/>
  </cols>
  <sheetData>
    <row r="1" spans="1:10" x14ac:dyDescent="0.3">
      <c r="A1" t="s">
        <v>0</v>
      </c>
      <c r="B1" t="s">
        <v>9</v>
      </c>
      <c r="C1" t="s">
        <v>10</v>
      </c>
      <c r="D1" t="s">
        <v>24</v>
      </c>
      <c r="E1" t="s">
        <v>23</v>
      </c>
      <c r="F1" t="s">
        <v>25</v>
      </c>
      <c r="G1" t="s">
        <v>16</v>
      </c>
      <c r="H1" t="s">
        <v>17</v>
      </c>
      <c r="I1" t="s">
        <v>3</v>
      </c>
      <c r="J1" t="s">
        <v>21</v>
      </c>
    </row>
    <row r="2" spans="1:10" ht="43.2" x14ac:dyDescent="0.3">
      <c r="A2" t="s">
        <v>5</v>
      </c>
      <c r="B2" s="2" t="s">
        <v>2</v>
      </c>
      <c r="C2" s="2" t="s">
        <v>1</v>
      </c>
      <c r="D2" t="b">
        <v>1</v>
      </c>
      <c r="E2" s="1" t="b">
        <v>1</v>
      </c>
      <c r="F2" t="b">
        <v>0</v>
      </c>
      <c r="G2" t="s">
        <v>27</v>
      </c>
      <c r="H2" s="2" t="s">
        <v>18</v>
      </c>
      <c r="I2" s="2" t="s">
        <v>4</v>
      </c>
      <c r="J2" s="1" t="b">
        <v>0</v>
      </c>
    </row>
    <row r="3" spans="1:10" ht="57.6" x14ac:dyDescent="0.3">
      <c r="A3" t="s">
        <v>11</v>
      </c>
      <c r="B3" s="2" t="s">
        <v>42</v>
      </c>
      <c r="C3" s="2" t="s">
        <v>6</v>
      </c>
      <c r="D3" t="b">
        <v>1</v>
      </c>
      <c r="E3" t="b">
        <v>0</v>
      </c>
      <c r="F3" s="1" t="b">
        <v>0</v>
      </c>
      <c r="G3" t="s">
        <v>22</v>
      </c>
      <c r="H3" s="1" t="s">
        <v>7</v>
      </c>
      <c r="I3" s="2" t="s">
        <v>20</v>
      </c>
      <c r="J3" s="1" t="b">
        <v>0</v>
      </c>
    </row>
    <row r="4" spans="1:10" ht="57.6" x14ac:dyDescent="0.3">
      <c r="A4" t="s">
        <v>12</v>
      </c>
      <c r="B4" s="2" t="s">
        <v>48</v>
      </c>
      <c r="C4" s="2" t="s">
        <v>51</v>
      </c>
      <c r="D4" t="b">
        <v>0</v>
      </c>
      <c r="E4" t="b">
        <v>0</v>
      </c>
      <c r="F4" t="b">
        <v>1</v>
      </c>
      <c r="G4" t="s">
        <v>22</v>
      </c>
      <c r="H4" s="2" t="s">
        <v>14</v>
      </c>
      <c r="I4" s="3" t="s">
        <v>73</v>
      </c>
      <c r="J4" t="b">
        <v>0</v>
      </c>
    </row>
    <row r="5" spans="1:10" ht="86.4" x14ac:dyDescent="0.3">
      <c r="A5" t="s">
        <v>13</v>
      </c>
      <c r="B5" s="2" t="s">
        <v>49</v>
      </c>
      <c r="C5" s="2" t="s">
        <v>52</v>
      </c>
      <c r="D5" t="b">
        <v>1</v>
      </c>
      <c r="E5" t="b">
        <v>1</v>
      </c>
      <c r="F5" t="b">
        <v>0</v>
      </c>
      <c r="G5" t="s">
        <v>28</v>
      </c>
      <c r="H5" t="s">
        <v>14</v>
      </c>
      <c r="I5" s="2" t="s">
        <v>26</v>
      </c>
      <c r="J5" t="b">
        <v>0</v>
      </c>
    </row>
    <row r="6" spans="1:10" ht="28.8" x14ac:dyDescent="0.3">
      <c r="A6" s="1" t="s">
        <v>8</v>
      </c>
      <c r="B6" s="2" t="s">
        <v>36</v>
      </c>
      <c r="C6" s="2" t="s">
        <v>35</v>
      </c>
      <c r="D6" t="b">
        <v>1</v>
      </c>
      <c r="E6" t="b">
        <v>1</v>
      </c>
      <c r="F6" t="b">
        <v>0</v>
      </c>
      <c r="G6" t="s">
        <v>22</v>
      </c>
      <c r="H6" s="2" t="s">
        <v>38</v>
      </c>
      <c r="I6" s="2" t="s">
        <v>19</v>
      </c>
      <c r="J6" t="b">
        <v>0</v>
      </c>
    </row>
    <row r="7" spans="1:10" ht="43.2" x14ac:dyDescent="0.3">
      <c r="A7" t="s">
        <v>29</v>
      </c>
      <c r="B7" s="2" t="s">
        <v>33</v>
      </c>
      <c r="C7" s="2" t="s">
        <v>32</v>
      </c>
      <c r="D7" t="b">
        <v>1</v>
      </c>
      <c r="E7" t="b">
        <v>1</v>
      </c>
      <c r="F7" s="1" t="b">
        <v>0</v>
      </c>
      <c r="G7" t="s">
        <v>30</v>
      </c>
      <c r="H7" s="2" t="s">
        <v>31</v>
      </c>
      <c r="I7" s="2" t="s">
        <v>37</v>
      </c>
      <c r="J7" t="b">
        <v>0</v>
      </c>
    </row>
    <row r="8" spans="1:10" ht="57.6" x14ac:dyDescent="0.3">
      <c r="A8" s="1" t="s">
        <v>39</v>
      </c>
      <c r="B8" s="2" t="s">
        <v>34</v>
      </c>
      <c r="C8" s="2" t="str">
        <f>"For BVP like in \textcite{"&amp;A7&amp;"}. For Augmentation like \textcite{"&amp;A6&amp;"}"</f>
        <v>For BVP like in \textcite{BanasikCrook2003SampleSelBias}. For Augmentation like \textcite{Banasik01032010}</v>
      </c>
      <c r="D8" s="1" t="b">
        <v>1</v>
      </c>
      <c r="E8" t="b">
        <v>1</v>
      </c>
      <c r="F8" t="b">
        <v>0</v>
      </c>
      <c r="G8" t="s">
        <v>22</v>
      </c>
      <c r="H8" s="2" t="s">
        <v>15</v>
      </c>
      <c r="I8" s="2" t="str">
        <f>"Also alike to \textcite{"&amp;A7&amp;"} and \textcite{"&amp;A6&amp;"}"</f>
        <v>Also alike to \textcite{BanasikCrook2003SampleSelBias} and \textcite{Banasik01032010}</v>
      </c>
      <c r="J8" t="b">
        <v>0</v>
      </c>
    </row>
    <row r="9" spans="1:10" ht="57.6" x14ac:dyDescent="0.3">
      <c r="A9" t="s">
        <v>40</v>
      </c>
      <c r="B9" s="2" t="s">
        <v>41</v>
      </c>
      <c r="C9" s="2" t="str">
        <f>"For Augmentation like \textcite{"&amp;A6&amp;"}, for extrapolation $\mathbb{P}(Y=g | X)$ similar in accepts and rejects"</f>
        <v>For Augmentation like \textcite{Banasik01032010}, for extrapolation $\mathbb{P}(Y=g | X)$ similar in accepts and rejects</v>
      </c>
      <c r="D9" t="b">
        <v>1</v>
      </c>
      <c r="E9" t="b">
        <v>1</v>
      </c>
      <c r="F9" t="b">
        <v>0</v>
      </c>
      <c r="G9" t="s">
        <v>22</v>
      </c>
      <c r="H9" s="2" t="s">
        <v>15</v>
      </c>
      <c r="I9" s="1" t="str">
        <f>"Like \textcite{"&amp;A7&amp;"} and \textcite{"&amp;A6&amp;"}"</f>
        <v>Like \textcite{BanasikCrook2003SampleSelBias} and \textcite{Banasik01032010}</v>
      </c>
      <c r="J9" t="b">
        <v>0</v>
      </c>
    </row>
    <row r="10" spans="1:10" ht="43.2" x14ac:dyDescent="0.3">
      <c r="A10" t="s">
        <v>43</v>
      </c>
      <c r="B10" t="s">
        <v>44</v>
      </c>
      <c r="C10" s="1" t="s">
        <v>45</v>
      </c>
      <c r="D10" s="1" t="b">
        <v>1</v>
      </c>
      <c r="E10" t="b">
        <v>0</v>
      </c>
      <c r="F10" t="b">
        <v>0</v>
      </c>
      <c r="G10" t="s">
        <v>22</v>
      </c>
      <c r="H10" t="s">
        <v>14</v>
      </c>
      <c r="I10" s="2" t="s">
        <v>46</v>
      </c>
      <c r="J10" t="b">
        <v>0</v>
      </c>
    </row>
    <row r="11" spans="1:10" ht="57.6" x14ac:dyDescent="0.3">
      <c r="A11" t="s">
        <v>47</v>
      </c>
      <c r="B11" s="2" t="s">
        <v>50</v>
      </c>
      <c r="C11" s="3" t="s">
        <v>53</v>
      </c>
      <c r="D11" t="b">
        <v>1</v>
      </c>
      <c r="E11" s="1" t="b">
        <v>1</v>
      </c>
      <c r="F11" t="b">
        <v>0</v>
      </c>
      <c r="G11" t="s">
        <v>22</v>
      </c>
      <c r="H11" s="2" t="s">
        <v>14</v>
      </c>
      <c r="I11" s="2" t="s">
        <v>54</v>
      </c>
      <c r="J11" t="b">
        <v>0</v>
      </c>
    </row>
    <row r="12" spans="1:10" ht="72" x14ac:dyDescent="0.3">
      <c r="A12" s="1" t="s">
        <v>55</v>
      </c>
      <c r="B12" s="2" t="s">
        <v>57</v>
      </c>
      <c r="C12" s="3" t="s">
        <v>56</v>
      </c>
      <c r="D12" s="1" t="b">
        <v>1</v>
      </c>
      <c r="E12" t="b">
        <v>1</v>
      </c>
      <c r="F12" t="b">
        <v>0</v>
      </c>
      <c r="G12" t="s">
        <v>58</v>
      </c>
      <c r="H12" s="2" t="s">
        <v>60</v>
      </c>
      <c r="I12" s="2" t="s">
        <v>59</v>
      </c>
      <c r="J12" t="b">
        <v>0</v>
      </c>
    </row>
    <row r="13" spans="1:10" ht="72" x14ac:dyDescent="0.3">
      <c r="A13" t="s">
        <v>106</v>
      </c>
      <c r="B13" s="2" t="s">
        <v>65</v>
      </c>
      <c r="C13" t="s">
        <v>61</v>
      </c>
      <c r="D13" t="b">
        <v>1</v>
      </c>
      <c r="E13" t="b">
        <v>1</v>
      </c>
      <c r="F13" t="b">
        <v>0</v>
      </c>
      <c r="G13" t="s">
        <v>62</v>
      </c>
      <c r="H13" s="2" t="s">
        <v>63</v>
      </c>
      <c r="I13" s="2" t="s">
        <v>64</v>
      </c>
      <c r="J13" t="b">
        <v>0</v>
      </c>
    </row>
    <row r="14" spans="1:10" ht="86.4" x14ac:dyDescent="0.3">
      <c r="A14" t="s">
        <v>66</v>
      </c>
      <c r="B14" s="2" t="s">
        <v>67</v>
      </c>
      <c r="C14" t="s">
        <v>68</v>
      </c>
      <c r="D14" s="1" t="b">
        <v>0</v>
      </c>
      <c r="E14" t="b">
        <v>1</v>
      </c>
      <c r="F14" t="b">
        <v>0</v>
      </c>
      <c r="G14" t="s">
        <v>69</v>
      </c>
      <c r="H14" s="2" t="s">
        <v>70</v>
      </c>
      <c r="I14" s="2" t="s">
        <v>71</v>
      </c>
      <c r="J14" s="1" t="b">
        <v>0</v>
      </c>
    </row>
    <row r="15" spans="1:10" ht="187.2" x14ac:dyDescent="0.3">
      <c r="A15" s="1" t="s">
        <v>72</v>
      </c>
      <c r="B15" s="2" t="s">
        <v>74</v>
      </c>
      <c r="C15" s="3" t="s">
        <v>75</v>
      </c>
      <c r="D15" t="b">
        <v>0</v>
      </c>
      <c r="E15" t="b">
        <v>0</v>
      </c>
      <c r="F15" t="b">
        <v>1</v>
      </c>
      <c r="G15" t="s">
        <v>22</v>
      </c>
      <c r="H15" s="2" t="s">
        <v>98</v>
      </c>
      <c r="I15" s="2" t="s">
        <v>76</v>
      </c>
      <c r="J15" t="b">
        <v>0</v>
      </c>
    </row>
    <row r="16" spans="1:10" ht="201.6" x14ac:dyDescent="0.3">
      <c r="A16" s="1" t="s">
        <v>77</v>
      </c>
      <c r="B16" s="3" t="s">
        <v>80</v>
      </c>
      <c r="C16" s="3" t="s">
        <v>82</v>
      </c>
      <c r="D16" s="1" t="b">
        <v>1</v>
      </c>
      <c r="E16" t="b">
        <v>1</v>
      </c>
      <c r="F16" t="b">
        <v>0</v>
      </c>
      <c r="G16" t="s">
        <v>78</v>
      </c>
      <c r="H16" s="2" t="s">
        <v>14</v>
      </c>
      <c r="I16" s="2" t="s">
        <v>79</v>
      </c>
      <c r="J16" t="b">
        <v>0</v>
      </c>
    </row>
    <row r="17" spans="1:10" ht="129.6" x14ac:dyDescent="0.3">
      <c r="A17" s="1" t="s">
        <v>81</v>
      </c>
      <c r="B17" s="2" t="s">
        <v>83</v>
      </c>
      <c r="C17" s="3" t="s">
        <v>84</v>
      </c>
      <c r="D17" t="b">
        <v>1</v>
      </c>
      <c r="E17" t="b">
        <v>1</v>
      </c>
      <c r="F17" t="b">
        <v>0</v>
      </c>
      <c r="G17" t="s">
        <v>85</v>
      </c>
      <c r="H17" s="2" t="s">
        <v>86</v>
      </c>
      <c r="I17" s="2" t="s">
        <v>87</v>
      </c>
      <c r="J17" t="b">
        <v>0</v>
      </c>
    </row>
    <row r="18" spans="1:10" ht="72" x14ac:dyDescent="0.3">
      <c r="A18" t="s">
        <v>88</v>
      </c>
      <c r="B18" s="2" t="s">
        <v>89</v>
      </c>
      <c r="C18" s="3" t="s">
        <v>90</v>
      </c>
      <c r="D18" s="1" t="b">
        <v>1</v>
      </c>
      <c r="E18" t="b">
        <v>1</v>
      </c>
      <c r="F18" t="b">
        <v>0</v>
      </c>
      <c r="G18" t="s">
        <v>91</v>
      </c>
      <c r="H18" s="2" t="s">
        <v>92</v>
      </c>
      <c r="I18" s="2" t="s">
        <v>93</v>
      </c>
      <c r="J18" t="b">
        <v>0</v>
      </c>
    </row>
    <row r="19" spans="1:10" ht="129.6" x14ac:dyDescent="0.3">
      <c r="A19" t="s">
        <v>94</v>
      </c>
      <c r="B19" s="2" t="s">
        <v>95</v>
      </c>
      <c r="C19" s="3" t="s">
        <v>96</v>
      </c>
      <c r="D19" t="b">
        <v>0</v>
      </c>
      <c r="E19" t="b">
        <v>1</v>
      </c>
      <c r="F19" t="b">
        <v>0</v>
      </c>
      <c r="G19" t="s">
        <v>22</v>
      </c>
      <c r="H19" s="2" t="s">
        <v>99</v>
      </c>
      <c r="I19" s="2" t="s">
        <v>97</v>
      </c>
      <c r="J19" s="1" t="b">
        <v>0</v>
      </c>
    </row>
    <row r="20" spans="1:10" ht="187.2" x14ac:dyDescent="0.3">
      <c r="A20" t="s">
        <v>100</v>
      </c>
      <c r="B20" s="2" t="s">
        <v>101</v>
      </c>
      <c r="C20" s="3" t="s">
        <v>102</v>
      </c>
      <c r="D20" s="1" t="b">
        <v>0</v>
      </c>
      <c r="E20" t="b">
        <v>1</v>
      </c>
      <c r="F20" t="b">
        <v>0</v>
      </c>
      <c r="G20" t="s">
        <v>22</v>
      </c>
      <c r="H20" s="2" t="s">
        <v>103</v>
      </c>
      <c r="I20" s="2" t="s">
        <v>104</v>
      </c>
      <c r="J20" s="1" t="b">
        <v>0</v>
      </c>
    </row>
    <row r="21" spans="1:10" ht="201.6" x14ac:dyDescent="0.3">
      <c r="A21" t="s">
        <v>110</v>
      </c>
      <c r="B21" s="2" t="s">
        <v>105</v>
      </c>
      <c r="C21" s="3" t="s">
        <v>107</v>
      </c>
      <c r="D21" t="b">
        <v>0</v>
      </c>
      <c r="E21" t="b">
        <v>1</v>
      </c>
      <c r="F21" t="b">
        <v>1</v>
      </c>
      <c r="G21" t="s">
        <v>22</v>
      </c>
      <c r="H21" s="2" t="s">
        <v>108</v>
      </c>
      <c r="I21" t="s">
        <v>109</v>
      </c>
      <c r="J21" t="b">
        <v>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 Ordonez-Serna</dc:creator>
  <cp:lastModifiedBy>Mateo Ordonez-Serna</cp:lastModifiedBy>
  <dcterms:created xsi:type="dcterms:W3CDTF">2026-08-13T09:15:27Z</dcterms:created>
  <dcterms:modified xsi:type="dcterms:W3CDTF">2026-09-08T13:50:11Z</dcterms:modified>
</cp:coreProperties>
</file>